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ifikasi Komputer (PC)" sheetId="1" r:id="rId5"/>
  </sheets>
  <definedNames/>
  <calcPr/>
</workbook>
</file>

<file path=xl/sharedStrings.xml><?xml version="1.0" encoding="utf-8"?>
<sst xmlns="http://schemas.openxmlformats.org/spreadsheetml/2006/main" count="659" uniqueCount="282">
  <si>
    <t>Quality of Devices (Komputer)</t>
  </si>
  <si>
    <t>Periode: Tahun 2025</t>
  </si>
  <si>
    <t>PT. DWI PRIMA REZEKY - IT</t>
  </si>
  <si>
    <t>Tanggal Evaluasi</t>
  </si>
  <si>
    <t>Kode Inventaris</t>
  </si>
  <si>
    <t>PLAN</t>
  </si>
  <si>
    <t>Bagian</t>
  </si>
  <si>
    <t>Device Name</t>
  </si>
  <si>
    <t>Category</t>
  </si>
  <si>
    <t>Spesifikasi Saat Ini</t>
  </si>
  <si>
    <t>Goal</t>
  </si>
  <si>
    <t>Perlu Upgrade</t>
  </si>
  <si>
    <t>Status Upgrade</t>
  </si>
  <si>
    <t>Keterangan</t>
  </si>
  <si>
    <t>Processor</t>
  </si>
  <si>
    <t>Motherboard</t>
  </si>
  <si>
    <t>RAM</t>
  </si>
  <si>
    <t>Storage</t>
  </si>
  <si>
    <t>OS Windows</t>
  </si>
  <si>
    <t>Ganti</t>
  </si>
  <si>
    <t>Repair</t>
  </si>
  <si>
    <t>K-010</t>
  </si>
  <si>
    <t>PLAN 1</t>
  </si>
  <si>
    <t>Direktur Utama</t>
  </si>
  <si>
    <t>PAK AMRI</t>
  </si>
  <si>
    <t>Komputer</t>
  </si>
  <si>
    <t>Intel(R) Core(TM) i5-11400 CPU @  2,60GHz + VGA Nvidia 2GB</t>
  </si>
  <si>
    <t>H81M-K (0x00000176 - 0x00517360)</t>
  </si>
  <si>
    <t>16 GBytes</t>
  </si>
  <si>
    <t>Microsoft Windows 10  Professional (x64), Version 22H2, Build 19045.5854</t>
  </si>
  <si>
    <t>Tercapai</t>
  </si>
  <si>
    <t>Yes</t>
  </si>
  <si>
    <t>No</t>
  </si>
  <si>
    <t>Complated</t>
  </si>
  <si>
    <t>IT</t>
  </si>
  <si>
    <t>Muhammad Wildan</t>
  </si>
  <si>
    <t>Intel(R) Core(TM) i7-6700 CPU @ 3.40GHz</t>
  </si>
  <si>
    <t>H110M-K (0x0000019F - 0x004C5FEB)</t>
  </si>
  <si>
    <t>8 GBytes</t>
  </si>
  <si>
    <t>V-GEN06SM22SCY256HY        VGSCY256220601002109        238.5 GB        SSD, SATA, SMART/TRIM, Vol: c: (196.5GB), d: (40.2GB), e: (0.5GB)</t>
  </si>
  <si>
    <t>Microsoft Windows 11  Professional (x64) Build 22631.4317</t>
  </si>
  <si>
    <t>RAM 16GB</t>
  </si>
  <si>
    <t>Jika ada pengadaan / upgrade perangkat user bisa di rekomendasikan &amp; dilaksanakan</t>
  </si>
  <si>
    <t>PLAN 3</t>
  </si>
  <si>
    <t>Johan</t>
  </si>
  <si>
    <t xml:space="preserve">H110M-K (0x0000019F - 0x004C5FEB)
</t>
  </si>
  <si>
    <t>V-GEN09SM22AR512SDK 512GB        VGAR2022091400020705        476.9 GB        SSD, SATA, SMART/TRIM, Volume: c: (475.5GB), h: (1.4GB)
WDC WD10EZEX-60WN4A2        WD-WCC6Y4LKPDRS        931.5 GB        HDD, SATA, 7200 RPM, SMART, Volume: g: (300GB), n: (314GB), o: (314.8GB)
ST1000VM002-1CT162        S1G5CAMD        931.5 GB        HDD, SATA, 5900 RPM, SMART, Volume: d: (146.5GB), e: (146.5GB), f: (638.5GB)
ST1000VM002-1CT162        S1G7LCWP        931.5 GB        HDD, SATA, 5900 RPM, SMART, Volume: i: (200GB), j: (200.3GB), k: (528.5GB)</t>
  </si>
  <si>
    <t>Microsoft Windows 10  Professional (x64) Build 19044.3086</t>
  </si>
  <si>
    <t>Sudah Kompetible</t>
  </si>
  <si>
    <t>-</t>
  </si>
  <si>
    <t>K-006</t>
  </si>
  <si>
    <t xml:space="preserve">Produksi </t>
  </si>
  <si>
    <t>AJENG</t>
  </si>
  <si>
    <t>Intel® Core™ i5-10400</t>
  </si>
  <si>
    <t>ESC B460H6-M22 Soket 1200</t>
  </si>
  <si>
    <t>8 GB</t>
  </si>
  <si>
    <t>ST3500312CS        5VV4T94X        465.8 GB        HDD, ATA, 5900 RPM, SMART, Vol: c: (314GB), f: (150.4GB)</t>
  </si>
  <si>
    <t>Microsoft Windows 10 Professional (x64) Build 19044.3086</t>
  </si>
  <si>
    <t>Compatible</t>
  </si>
  <si>
    <t>Dokumen</t>
  </si>
  <si>
    <t>ANDITA</t>
  </si>
  <si>
    <t>Intel(R) Core(TM) i3-3240 CPU @ 3.40GHz</t>
  </si>
  <si>
    <t>H61M-K (0x00000174 - 0x00507360)</t>
  </si>
  <si>
    <t>V-GEN05SM23AR256HY 256GB        VGAR2023053000170357        238.5 GB        SSD, SATA, SMART/TRIM, Volume: f: (1.1GB), j: (112.6GB), k: (124.8GB)
- ST1000DM010-2EP102        W9AJHS1B        931.5 GB        HDD, SATA, 7200 RPM, SMART, Volume: c: (440GB), d: (487.3GB), e: (4.2GB)</t>
  </si>
  <si>
    <t>Microsoft Windows 10 Enterprise Edition (x64) Build 16299.2166</t>
  </si>
  <si>
    <t xml:space="preserve"> i5-10400 gen 10, RAM 9</t>
  </si>
  <si>
    <t>Pending</t>
  </si>
  <si>
    <t>K-009</t>
  </si>
  <si>
    <t>General Affair</t>
  </si>
  <si>
    <t>ARIF</t>
  </si>
  <si>
    <t>Intel i3 gen 2th</t>
  </si>
  <si>
    <t>Gigabyte DDR3</t>
  </si>
  <si>
    <t>SSD V-GEN 128GB (VGAR2023080900060563)</t>
  </si>
  <si>
    <t>Microsoft Windows 10 Professional (x64) Build 19045.4412</t>
  </si>
  <si>
    <t>Pakai processor bekas mba dita</t>
  </si>
  <si>
    <t>K-007</t>
  </si>
  <si>
    <t>K3</t>
  </si>
  <si>
    <t>BAHRUDINK3</t>
  </si>
  <si>
    <t>Intel Core i5-6600</t>
  </si>
  <si>
    <t>Gigabyte Technology Co. Ltd GA-H110M-H</t>
  </si>
  <si>
    <t>8 GB DDR4</t>
  </si>
  <si>
    <t>SSD V-GEN 256GB (VGAR2023080900060563)</t>
  </si>
  <si>
    <t>Windows 10, Keysoft</t>
  </si>
  <si>
    <t xml:space="preserve"> i5-10400 gen 10, RAM 8</t>
  </si>
  <si>
    <t>Quallity Control</t>
  </si>
  <si>
    <t>DEWIQC</t>
  </si>
  <si>
    <t>H61M-DS2 (0x000001F2 - 0x00A0E60A)</t>
  </si>
  <si>
    <t>V-GEN07SM22AR128HY 128GB        VGAR2022070600005985        119.2 GB        SSD, ATA, SMART/TRIM, Vol: c: (118.6GB)</t>
  </si>
  <si>
    <t>Microsoft Windows 10 Professional (x64) Build 19045.5854</t>
  </si>
  <si>
    <t>i5-10400 gen 10, RAM 8</t>
  </si>
  <si>
    <t>Admin Office</t>
  </si>
  <si>
    <t>Admin Office (Puspa)</t>
  </si>
  <si>
    <t>Intel(R) Core(TM) i5-10400F CPU @ 2.90GHz</t>
  </si>
  <si>
    <t>B460H6-M22 (0x00000238 - 0x1305D650)</t>
  </si>
  <si>
    <t>Microsoft Windows 11 Professional (x64) Build 26100.4061</t>
  </si>
  <si>
    <t>Warehouse</t>
  </si>
  <si>
    <t>Frida</t>
  </si>
  <si>
    <t>-GEN08SM23AR256HY 256GB        VGAR2023080900038038        238.5 GB        SSD, ATA, SMART/TRIM, Vol: c: (205.2GB), d: (32.6GB)</t>
  </si>
  <si>
    <t>Lab Plan 1</t>
  </si>
  <si>
    <t>FAHRI</t>
  </si>
  <si>
    <t>Intel(R) Core(TM) i3-4130 CPU @ 3.40GHz</t>
  </si>
  <si>
    <t>4 GBytes</t>
  </si>
  <si>
    <t>V-GEN05SM23AR256HY 256GB        VGAR2023053000168813        238.5 GB        SSD, SATA, SMART/TRIM, Volume: c: (135.4GB), d: (102.8GB)</t>
  </si>
  <si>
    <t>Fatwa Lab3</t>
  </si>
  <si>
    <t>FATWALAB</t>
  </si>
  <si>
    <t>Intel(R) Core(TM) i3-2120 CPU @ 3.30GHz</t>
  </si>
  <si>
    <t>ADATA SU650        2L4229C75QY7        223.6 GB        SSD, ATA, SMART/TRIM, Vol: c: (148GB), d: (74.5GB), e: (0.3GB)
ST3500414CS        6VV9JFP4        465.8 GB        HDD, ATA, 5900 RPM, SMART, Vol: f: (312GB), g: (150.9GB)</t>
  </si>
  <si>
    <t>Microsoft Windows 10 Education (x64) Build 19044.4529</t>
  </si>
  <si>
    <t>Anne</t>
  </si>
  <si>
    <t>H61M-DS2 3.0 (0x000002A3 - 0x398E1200)</t>
  </si>
  <si>
    <t>6 GBytes</t>
  </si>
  <si>
    <t>ST3500414CS        5VV9B34H        465.8 GB        HDD, ATA, 5900 RPM, SMART, Volume: c: (264.4GB), d: (201GB)</t>
  </si>
  <si>
    <t>Ruang Meeting Edelwis</t>
  </si>
  <si>
    <t>INDRAQC</t>
  </si>
  <si>
    <t>Intel(R) Core(TM) i5-6500 CPU @ 3.20GHz</t>
  </si>
  <si>
    <t>GA-H110M-H-CF (0x00000307 - 0x145EA2A6)</t>
  </si>
  <si>
    <t>V-GEN05SM23AR256HY 256GB        VGAR2023053000167609        238.5 GB        SSD, SATA, SMART/TRIM, Volume: c: (150.1GB), d: (87.8GB)</t>
  </si>
  <si>
    <t>i5-10400 gen 10</t>
  </si>
  <si>
    <t>IWAN</t>
  </si>
  <si>
    <t>H61H2-MV (0x000001F9 - 0x00A05486)</t>
  </si>
  <si>
    <t>V-GEN08SM22AR256SDK 256GB        VGAR2022081700007787        238.5 GB        SSD, ATA, SMART/TRIM, Volume: c: (237.8GB), d: (0.7GB)</t>
  </si>
  <si>
    <t>Microsoft Windows 10 Professional (x64) Build 19042.3086</t>
  </si>
  <si>
    <t>JAHID</t>
  </si>
  <si>
    <t>H61 (0x000000AF - 0x000004B4)</t>
  </si>
  <si>
    <t>V-GEN12SM22AR256SDK 256GB        VGAR2022121400001221        238.5 GB        SSD, SATA, SMART/TRIM, Volume: c: (237.8GB)</t>
  </si>
  <si>
    <t>MIAYUNIANTI</t>
  </si>
  <si>
    <t>Intel(R) Core(TM) i3-2100 CPU @ 3.10GHz</t>
  </si>
  <si>
    <t>MAHOBAY (0x00000201 - 0x005E7C79)</t>
  </si>
  <si>
    <t>V-GEN05SM23AR256HY 256GB        VGAR2023053000170366        238.5 GB        SSD, ATA, SMART/TRIM, Vol: c: (185.9GB), d: (51.6GB)</t>
  </si>
  <si>
    <t>Legal</t>
  </si>
  <si>
    <t>NURDIAN</t>
  </si>
  <si>
    <t>Intel(R) Core(TM) i5-2400 CPU @ 3.10GHz</t>
  </si>
  <si>
    <t>ST500DM002-1BD142        W2AKJCAW        465.8 GB        HDD, ATA, 7200 RPM, SMART, Vol: c: (200.1GB), d: (263.3GB)</t>
  </si>
  <si>
    <t>RIAQC</t>
  </si>
  <si>
    <t>ST380215AS        5QZ2TBZG        74.5 GB        HDD, ATA, SMART, Vol: d: (0.1GB), e: (74.4GB)
128GB        GV210925WT00000693        119.2 GB        SSD, ATA, SMART/TRIM, Vol: c: (118.6GB)</t>
  </si>
  <si>
    <t>Office</t>
  </si>
  <si>
    <t>SENIAHMAD</t>
  </si>
  <si>
    <t>Intel(R) Core(TM) i5-4570 CPU @ 3.20GHz</t>
  </si>
  <si>
    <t>V-GEN12SM22AR256SDK 256GB        VGAR2022121400016999        238.5 GB        SSD, SATA, SMART/TRIM, Vol: c: (157.1GB), f: (80GB)</t>
  </si>
  <si>
    <t>Label</t>
  </si>
  <si>
    <t>Yeye</t>
  </si>
  <si>
    <t>Intel(R) Core(TM) i5-6600 CPU @ 3.30GHz</t>
  </si>
  <si>
    <t>V-GEN05SM23AR256HY 256GB        VGAR2023053000136039        238.5 GB        SSD, SATA, SMART/TRIM, Vol: c: (135.4GB), d: (102.8GB)</t>
  </si>
  <si>
    <t>Heni</t>
  </si>
  <si>
    <t>ST1000VM002-1ET162        S510Y5JL        931.5 GB        HDD, SATA, 5900 RPM, SMART, Vol: d: (260GB), e: (340GB), f: (326.9GB)
V-GEN07SM22AR256SDK 256GB        VGAR2022070600010757        238.5 GB        SSD, SATA, SMART/TRIM, Vol: c: (237.3GB)</t>
  </si>
  <si>
    <t>Lab Plan1</t>
  </si>
  <si>
    <t>SYAMIRAH</t>
  </si>
  <si>
    <t xml:space="preserve">ST3500414CS        5VVCF3LH        465.8 GB        HDD, ATA, 5900 RPM, SMART, Vol: d: (293GB), e: (172.8GB)
V-GEN05SM23AR256HY 256GB        VGAR2023053000145205        238.5 GB        SSD, ATA, SMART/TRIM, Vol: c: (237.1GB)
</t>
  </si>
  <si>
    <t>ULUAN</t>
  </si>
  <si>
    <t>V-GEN05SM23AR256HY 256GB        VGAR2023053000167590        238.5 GB        SSD, ATA, SMART/TRIM, Vol: c: (135.4GB), d: (102.8GB)</t>
  </si>
  <si>
    <t>Ruang PPIC</t>
  </si>
  <si>
    <t>Ade - SPV</t>
  </si>
  <si>
    <t>H61M-DS2 (0x000001F2 - ...)</t>
  </si>
  <si>
    <t>1xSSD V-GEN06SM22SCY256HY VGSCY256220601007698 238.5 GB, 1xHDD e:\, 0.3 GBytes (91.8 percent available)  \\?\ide#diskst3500312cs_____________________________ca12____#5&amp;19423367&amp;0&amp;1.0.0#{53f56307-b6bf-11d0-94f2-00a0c91efb8b}</t>
  </si>
  <si>
    <t>Microsoft Windows 11 Professional (x64) Build 22631.4317</t>
  </si>
  <si>
    <t>Hestia</t>
  </si>
  <si>
    <t xml:space="preserve">1xSSD ST3500414CS 6VVBJ9QH 465.8 GB, 1xHDD d:\, 1.2 GBytes (96.4 percent available)  </t>
  </si>
  <si>
    <t>PPIC</t>
  </si>
  <si>
    <t>Nadia</t>
  </si>
  <si>
    <t>H110M-K (0x0000019F - ...)</t>
  </si>
  <si>
    <t xml:space="preserve">1xSSD ST3500414CS 5VVDKHY3 465.8 GB, 1xHDD c:\, 359.5 GBytes (77.8 percent available)  </t>
  </si>
  <si>
    <t>Nindi</t>
  </si>
  <si>
    <t>Intel(R) Core(TM) i3-4150 CPU @ 3.50GHz</t>
  </si>
  <si>
    <t>H81M-DS2 (0x000001F4 - ...)</t>
  </si>
  <si>
    <t xml:space="preserve">1xSSD V-GEN05SM23AR256HY 256GB VGAR2023053000170369 238.5 GB, 1xHDD e:\, 0.3 GBytes (91.9 percent available)  </t>
  </si>
  <si>
    <t>PLAN 2</t>
  </si>
  <si>
    <t>Martanti</t>
  </si>
  <si>
    <t>Intel(R) Core(TM) i3-3220 CPU @ 3.30GHz Ivy Bridge Socket 1155 LGA (0x1) MMX, SSE, SSE2, SSE3, SSSE3, SSE4.1, SSE4.2, EM64T, VT-x, AVX</t>
  </si>
  <si>
    <t>Gigabyte Technology Co. Ltd. H61M-DS2</t>
  </si>
  <si>
    <t>1xHDD ST3500312CS 465.8 GB, c:\ 263.8 GB (71.8%), d:\ 200 GB (91.7%)</t>
  </si>
  <si>
    <t>Harlis</t>
  </si>
  <si>
    <t>Intel Core i3-4150 @ 3.50GHz</t>
  </si>
  <si>
    <t>Gigabyte H81M-DS2</t>
  </si>
  <si>
    <t>8 GB DDR3 1600MHz (SK Hynix)</t>
  </si>
  <si>
    <t>256GB V-GEN05SM23AR256HY SSD (SATA)</t>
  </si>
  <si>
    <t>i5-10400 gen 10, RAM 9</t>
  </si>
  <si>
    <t>Fifit</t>
  </si>
  <si>
    <t>Intel Core i5-3470 @ 3.20GHz</t>
  </si>
  <si>
    <t>Gigabyte H61M-DS2</t>
  </si>
  <si>
    <t>8 GB DDR3 1600 MHz (SK Hynix)</t>
  </si>
  <si>
    <t>1xSSD 128GB, 1xHDD ST3500312CS 465.8 GB d:\ (99.1% free)</t>
  </si>
  <si>
    <t>Fafat</t>
  </si>
  <si>
    <t>Intel Core i3-3240 @ 3.40GHz</t>
  </si>
  <si>
    <t>6 GB DDR3 (2x2 GB)</t>
  </si>
  <si>
    <t>256 GB SSD (V-GEN08SM23AR256HY), Drive C: 135 GB (56.9%) + D: 102 GB (77%)</t>
  </si>
  <si>
    <t>Erika</t>
  </si>
  <si>
    <t>Intel Core i3-3220 @3.30GHz (Ivy Bridge, 22nm)</t>
  </si>
  <si>
    <t>Gigabyte H61M-DS2 (Intel H61, BIOS F6 09/30/2014)</t>
  </si>
  <si>
    <t>4GB DDR3 Kingston PC3-12800 (800 MHz)</t>
  </si>
  <si>
    <t>K-011</t>
  </si>
  <si>
    <t>Ela</t>
  </si>
  <si>
    <t>Gigabyte Technology Co. Ltd. H61M-DS2.</t>
  </si>
  <si>
    <t xml:space="preserve">1xSSD ST3500312CS 9VV02J0Y 465.8 GB, 1xHDD d:\, 151.0 GBytes (57.4 percent available)  </t>
  </si>
  <si>
    <t>i5-12400 gen 10, RAM 8</t>
  </si>
  <si>
    <t>K-005</t>
  </si>
  <si>
    <t>Nurcoan</t>
  </si>
  <si>
    <t>K-004</t>
  </si>
  <si>
    <t>Amung</t>
  </si>
  <si>
    <t>Asus H61M-K</t>
  </si>
  <si>
    <t>12 GB DDR3</t>
  </si>
  <si>
    <t>18/8/2025</t>
  </si>
  <si>
    <t>K-003</t>
  </si>
  <si>
    <t>Erna</t>
  </si>
  <si>
    <t>12 GB DDR4</t>
  </si>
  <si>
    <t>K-001</t>
  </si>
  <si>
    <t>HRD</t>
  </si>
  <si>
    <t>Ajeng HRD</t>
  </si>
  <si>
    <t>Intel Core i5-8400</t>
  </si>
  <si>
    <t>MSI H310M Pr-M2</t>
  </si>
  <si>
    <t>MVME 256GB, SSD V-GEN 512GB (VGAR2023080900060563)</t>
  </si>
  <si>
    <t>Windows 11 Pro, Keysoft</t>
  </si>
  <si>
    <t>i7 - Gen 9</t>
  </si>
  <si>
    <t>K-002</t>
  </si>
  <si>
    <t>Diva</t>
  </si>
  <si>
    <t>18/8/2026</t>
  </si>
  <si>
    <t>K-008</t>
  </si>
  <si>
    <t>FG</t>
  </si>
  <si>
    <t>Putra</t>
  </si>
  <si>
    <t>Intel Core i5-6400</t>
  </si>
  <si>
    <t>Gigabyte H110M-H</t>
  </si>
  <si>
    <t>Windows 10 Pro</t>
  </si>
  <si>
    <t>i7 - Gen 10</t>
  </si>
  <si>
    <t>20/10/2027</t>
  </si>
  <si>
    <t>K-012</t>
  </si>
  <si>
    <t>Eky Design</t>
  </si>
  <si>
    <t>Intel Core i7-12700KF</t>
  </si>
  <si>
    <t>Asus H610, VGA RTX 3050 6GB</t>
  </si>
  <si>
    <t>32 GB DDR4</t>
  </si>
  <si>
    <t>SSD M2.NVME 1TB 4.0</t>
  </si>
  <si>
    <t>Windows 11 Pro</t>
  </si>
  <si>
    <t>20/10/2028</t>
  </si>
  <si>
    <t>K-013</t>
  </si>
  <si>
    <t>PC Server</t>
  </si>
  <si>
    <t>Intel Core i7-10700F</t>
  </si>
  <si>
    <t>Gigabyte H410M,  Geforce G210 1GB</t>
  </si>
  <si>
    <t>64 GB DDR4</t>
  </si>
  <si>
    <t>SSD M2.NVME 512TB 4.1 + SSD 1TB Sata</t>
  </si>
  <si>
    <t>Upgrade Processore + VGA</t>
  </si>
  <si>
    <t>20/10/2029</t>
  </si>
  <si>
    <t>K-014</t>
  </si>
  <si>
    <t>TAX &amp; Accounting</t>
  </si>
  <si>
    <t>Sadam TAX</t>
  </si>
  <si>
    <t>SATA SSD 512GB + SATA SSD 256GB</t>
  </si>
  <si>
    <t>K-015</t>
  </si>
  <si>
    <t>IT Magang</t>
  </si>
  <si>
    <t>PC Stock</t>
  </si>
  <si>
    <t xml:space="preserve">Intel i3 gen 10th			</t>
  </si>
  <si>
    <t>Asus H510M</t>
  </si>
  <si>
    <t>16GB DDR 4</t>
  </si>
  <si>
    <t>SSD SATA 256GB 4.0</t>
  </si>
  <si>
    <t>Microsoft Windows 11  Professional (x64), Version 22H2</t>
  </si>
  <si>
    <t>K-016</t>
  </si>
  <si>
    <t>Finishing</t>
  </si>
  <si>
    <t>K-017</t>
  </si>
  <si>
    <t>PC Sementara WIldan</t>
  </si>
  <si>
    <t>Intel i5 gen 11th</t>
  </si>
  <si>
    <t>Gigabyte H510</t>
  </si>
  <si>
    <t>SSD M2.NVME 256GB 4.0</t>
  </si>
  <si>
    <t>Linux Ubuntu</t>
  </si>
  <si>
    <t>Class Criteria</t>
  </si>
  <si>
    <t>Processor Intel &lt;i3, RAM &lt;4GB, Storage SSD &lt;128gb / HDD &lt;128GB</t>
  </si>
  <si>
    <t>Processor Intel &lt;i5, RAM &lt;6GB, Storage SSD &lt;256GB / HDD &lt;256GB</t>
  </si>
  <si>
    <t>Processor Intel &lt;i7, RAM &lt;8GB, Storage SSD &lt;256gb / HDD &lt;500GB</t>
  </si>
  <si>
    <t>*Semua data ini diambil dari spesifikasi komputer user Bulan Mei 2025, Sudah 80% data spek komputer terdokumentasi.</t>
  </si>
  <si>
    <t>Penambahan Asset Divisi IT Tahun 2025</t>
  </si>
  <si>
    <t>Bulan</t>
  </si>
  <si>
    <t>Ket</t>
  </si>
  <si>
    <t>Unit</t>
  </si>
  <si>
    <t>Harga Unit</t>
  </si>
  <si>
    <t>Total Harga</t>
  </si>
  <si>
    <t>Juli</t>
  </si>
  <si>
    <t>Penambahan CPU (Low Class)</t>
  </si>
  <si>
    <t>Agustus</t>
  </si>
  <si>
    <t>Penambahan CPU (Medium Class)</t>
  </si>
  <si>
    <t>September</t>
  </si>
  <si>
    <t>Oktober</t>
  </si>
  <si>
    <t>Penambahan 1 Set Komputer Design</t>
  </si>
  <si>
    <t>Printer Epson Colorworks C6050A (Pak Wahab)</t>
  </si>
  <si>
    <t>November</t>
  </si>
  <si>
    <t xml:space="preserve">Laptop Lenovo V14 G5 IRL 83GU007AID </t>
  </si>
  <si>
    <t>Desember</t>
  </si>
  <si>
    <t>Laptop Lenovo V14 G5 IRL 83GU007GID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</si>
</sst>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[$Rp]#,##0"/>
  </numFmts>
  <fonts count="11">
    <font>
      <sz val="10.0"/>
      <color rgb="FF000000"/>
      <name val="Arial"/>
      <scheme val="minor"/>
    </font>
    <font>
      <color theme="1"/>
      <name val="Arial"/>
    </font>
    <font>
      <b/>
      <sz val="21.0"/>
      <color theme="1"/>
      <name val="DM Sans"/>
    </font>
    <font/>
    <font>
      <b/>
      <color theme="1"/>
      <name val="DM Sans"/>
    </font>
    <font>
      <b/>
      <sz val="8.0"/>
      <color theme="1"/>
      <name val="DM Sans"/>
    </font>
    <font>
      <b/>
      <sz val="12.0"/>
      <color theme="1"/>
      <name val="DM Sans"/>
    </font>
    <font>
      <sz val="11.0"/>
      <color theme="1"/>
      <name val="DM Sans"/>
    </font>
    <font>
      <color theme="1"/>
      <name val="DM Sans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5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6" fillId="0" fontId="3" numFmtId="0" xfId="0" applyBorder="1" applyFont="1"/>
    <xf borderId="9" fillId="3" fontId="6" numFmtId="0" xfId="0" applyAlignment="1" applyBorder="1" applyFill="1" applyFont="1">
      <alignment horizontal="left" shrinkToFit="0" vertical="center" wrapText="1"/>
    </xf>
    <xf borderId="10" fillId="3" fontId="6" numFmtId="0" xfId="0" applyAlignment="1" applyBorder="1" applyFill="1" applyFont="1">
      <alignment horizontal="left" shrinkToFit="0" vertical="center" wrapText="1"/>
    </xf>
    <xf borderId="11" fillId="3" fontId="6" numFmtId="0" xfId="0" applyAlignment="1" applyBorder="1" applyFill="1" applyFont="1">
      <alignment horizontal="left" vertical="center"/>
    </xf>
    <xf borderId="12" fillId="3" fontId="6" numFmtId="0" xfId="0" applyAlignment="1" applyBorder="1" applyFill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1" fillId="4" fontId="6" numFmtId="0" xfId="0" applyAlignment="1" applyBorder="1" applyFill="1" applyFont="1">
      <alignment horizontal="left" vertical="center"/>
    </xf>
    <xf borderId="12" fillId="3" fontId="6" numFmtId="0" xfId="0" applyAlignment="1" applyBorder="1" applyFill="1" applyFont="1">
      <alignment horizontal="left" vertical="center"/>
    </xf>
    <xf borderId="11" fillId="3" fontId="6" numFmtId="0" xfId="0" applyAlignment="1" applyBorder="1" applyFill="1" applyFont="1">
      <alignment horizontal="left" shrinkToFit="0" vertical="center" wrapText="1"/>
    </xf>
    <xf borderId="15" fillId="3" fontId="6" numFmtId="0" xfId="0" applyAlignment="1" applyBorder="1" applyFill="1" applyFont="1">
      <alignment horizontal="left" vertical="center"/>
    </xf>
    <xf borderId="16" fillId="0" fontId="3" numFmtId="0" xfId="0" applyBorder="1" applyFont="1"/>
    <xf borderId="17" fillId="3" fontId="1" numFmtId="0" xfId="0" applyAlignment="1" applyBorder="1" applyFill="1" applyFont="1">
      <alignment horizontal="left" vertical="center"/>
    </xf>
    <xf borderId="18" fillId="0" fontId="3" numFmtId="0" xfId="0" applyBorder="1" applyFont="1"/>
    <xf borderId="19" fillId="3" fontId="6" numFmtId="0" xfId="0" applyAlignment="1" applyBorder="1" applyFill="1" applyFont="1">
      <alignment horizontal="left" vertical="center"/>
    </xf>
    <xf borderId="20" fillId="0" fontId="3" numFmtId="0" xfId="0" applyBorder="1" applyFont="1"/>
    <xf borderId="0" fillId="0" fontId="7" numFmtId="164" xfId="0" applyAlignment="1" applyFont="1" applyNumberFormat="1">
      <alignment horizontal="left" shrinkToFit="0" vertical="center" wrapText="1"/>
    </xf>
    <xf borderId="0" fillId="4" fontId="7" numFmtId="0" xfId="0" applyAlignment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4" fontId="7" numFmtId="0" xfId="0" applyAlignment="1" applyFill="1" applyFont="1">
      <alignment horizontal="left" vertical="center"/>
    </xf>
    <xf borderId="0" fillId="4" fontId="8" numFmtId="0" xfId="0" applyAlignment="1" applyFill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5" fontId="7" numFmtId="0" xfId="0" applyAlignment="1" applyFill="1" applyFont="1">
      <alignment horizontal="left" vertical="center"/>
    </xf>
    <xf borderId="0" fillId="5" fontId="8" numFmtId="0" xfId="0" applyAlignment="1" applyFill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6" fontId="7" numFmtId="0" xfId="0" applyAlignment="1" applyFill="1" applyFont="1">
      <alignment horizontal="left" shrinkToFit="0" vertical="center" wrapText="1"/>
    </xf>
    <xf borderId="0" fillId="5" fontId="7" numFmtId="0" xfId="0" applyAlignment="1" applyFill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6" fontId="8" numFmtId="0" xfId="0" applyAlignment="1" applyFill="1" applyFont="1">
      <alignment horizontal="left" shrinkToFit="0" vertical="center" wrapText="1"/>
    </xf>
    <xf borderId="0" fillId="0" fontId="8" numFmtId="0" xfId="0" applyAlignment="1" applyFont="1">
      <alignment horizontal="left" vertical="center"/>
    </xf>
    <xf borderId="0" fillId="0" fontId="7" numFmtId="165" xfId="0" applyAlignment="1" applyFont="1" applyNumberFormat="1">
      <alignment horizontal="left" readingOrder="0" shrinkToFit="0" vertical="center" wrapText="1"/>
    </xf>
    <xf borderId="0" fillId="4" fontId="7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4" fontId="8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6" fontId="1" numFmtId="0" xfId="0" applyAlignment="1" applyFill="1" applyFont="1">
      <alignment horizontal="left" vertical="center"/>
    </xf>
    <xf borderId="0" fillId="5" fontId="1" numFmtId="0" xfId="0" applyAlignment="1" applyFill="1" applyFont="1">
      <alignment horizontal="left" vertical="center"/>
    </xf>
    <xf borderId="0" fillId="4" fontId="1" numFmtId="0" xfId="0" applyAlignment="1" applyFill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7" fontId="1" numFmtId="164" xfId="0" applyAlignment="1" applyFill="1" applyFont="1" applyNumberFormat="1">
      <alignment horizontal="left" vertical="center"/>
    </xf>
    <xf borderId="0" fillId="7" fontId="1" numFmtId="0" xfId="0" applyAlignment="1" applyFill="1" applyFont="1">
      <alignment horizontal="left" vertical="center"/>
    </xf>
    <xf borderId="0" fillId="0" fontId="1" numFmtId="0" xfId="0" applyAlignment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166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 vertical="center"/>
    </xf>
    <xf borderId="0" fillId="0" fontId="10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962025</xdr:colOff>
      <xdr:row>7</xdr:row>
      <xdr:rowOff>0</xdr:rowOff>
    </xdr:from>
    <xdr:ext cx="5715000" cy="3533775"/>
    <xdr:pic>
      <xdr:nvPicPr>
        <xdr:cNvPr id="36625384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0.75"/>
    <col customWidth="1" min="9" max="9" width="1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3"/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  <c r="Q2" s="7" t="s">
        <v>1</v>
      </c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"/>
      <c r="B3" s="8"/>
      <c r="P3" s="9"/>
      <c r="Q3" s="8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1"/>
      <c r="B4" s="10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3"/>
      <c r="R4" s="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1"/>
      <c r="B6" s="14" t="s">
        <v>3</v>
      </c>
      <c r="C6" s="15" t="s">
        <v>4</v>
      </c>
      <c r="D6" s="16" t="s">
        <v>5</v>
      </c>
      <c r="E6" s="16" t="s">
        <v>6</v>
      </c>
      <c r="F6" s="16" t="s">
        <v>7</v>
      </c>
      <c r="G6" s="16" t="s">
        <v>8</v>
      </c>
      <c r="H6" s="17" t="s">
        <v>9</v>
      </c>
      <c r="I6" s="18"/>
      <c r="J6" s="18"/>
      <c r="K6" s="18"/>
      <c r="L6" s="19"/>
      <c r="M6" s="20" t="s">
        <v>10</v>
      </c>
      <c r="N6" s="21" t="s">
        <v>11</v>
      </c>
      <c r="O6" s="19"/>
      <c r="P6" s="22" t="s">
        <v>12</v>
      </c>
      <c r="Q6" s="23" t="s">
        <v>13</v>
      </c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1"/>
      <c r="B7" s="24"/>
      <c r="C7" s="25"/>
      <c r="D7" s="26"/>
      <c r="E7" s="26"/>
      <c r="F7" s="26"/>
      <c r="G7" s="26"/>
      <c r="H7" s="27" t="s">
        <v>14</v>
      </c>
      <c r="I7" s="27" t="s">
        <v>15</v>
      </c>
      <c r="J7" s="27" t="s">
        <v>16</v>
      </c>
      <c r="K7" s="27" t="s">
        <v>17</v>
      </c>
      <c r="L7" s="27" t="s">
        <v>18</v>
      </c>
      <c r="M7" s="26"/>
      <c r="N7" s="27" t="s">
        <v>19</v>
      </c>
      <c r="O7" s="27" t="s">
        <v>20</v>
      </c>
      <c r="P7" s="26"/>
      <c r="Q7" s="28"/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1"/>
      <c r="B8" s="29">
        <v>45820.0</v>
      </c>
      <c r="C8" s="30" t="s">
        <v>21</v>
      </c>
      <c r="D8" s="31" t="s">
        <v>22</v>
      </c>
      <c r="E8" s="31" t="s">
        <v>23</v>
      </c>
      <c r="F8" s="31" t="s">
        <v>24</v>
      </c>
      <c r="G8" s="31" t="s">
        <v>25</v>
      </c>
      <c r="H8" s="30" t="s">
        <v>26</v>
      </c>
      <c r="I8" s="32" t="s">
        <v>27</v>
      </c>
      <c r="J8" s="33" t="s">
        <v>28</v>
      </c>
      <c r="K8" s="1"/>
      <c r="L8" s="34" t="s">
        <v>29</v>
      </c>
      <c r="M8" s="32" t="s">
        <v>30</v>
      </c>
      <c r="N8" s="32" t="s">
        <v>31</v>
      </c>
      <c r="O8" s="32" t="s">
        <v>32</v>
      </c>
      <c r="P8" s="35" t="s">
        <v>33</v>
      </c>
      <c r="Q8" s="1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1"/>
      <c r="B9" s="29">
        <v>45820.0</v>
      </c>
      <c r="C9" s="1"/>
      <c r="D9" s="31" t="s">
        <v>22</v>
      </c>
      <c r="E9" s="31" t="s">
        <v>34</v>
      </c>
      <c r="F9" s="31" t="s">
        <v>35</v>
      </c>
      <c r="G9" s="31" t="s">
        <v>25</v>
      </c>
      <c r="H9" s="30" t="s">
        <v>36</v>
      </c>
      <c r="I9" s="32" t="s">
        <v>37</v>
      </c>
      <c r="J9" s="36" t="s">
        <v>38</v>
      </c>
      <c r="K9" s="37" t="s">
        <v>39</v>
      </c>
      <c r="L9" s="34" t="s">
        <v>40</v>
      </c>
      <c r="M9" s="32" t="s">
        <v>41</v>
      </c>
      <c r="N9" s="32" t="s">
        <v>31</v>
      </c>
      <c r="O9" s="32" t="s">
        <v>32</v>
      </c>
      <c r="P9" s="35" t="s">
        <v>33</v>
      </c>
      <c r="Q9" s="32" t="s">
        <v>42</v>
      </c>
      <c r="R9" s="2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1"/>
      <c r="B10" s="29">
        <v>45820.0</v>
      </c>
      <c r="C10" s="1"/>
      <c r="D10" s="31" t="s">
        <v>43</v>
      </c>
      <c r="E10" s="31" t="s">
        <v>34</v>
      </c>
      <c r="F10" s="31" t="s">
        <v>44</v>
      </c>
      <c r="G10" s="31" t="s">
        <v>25</v>
      </c>
      <c r="H10" s="30" t="s">
        <v>36</v>
      </c>
      <c r="I10" s="32" t="s">
        <v>45</v>
      </c>
      <c r="J10" s="30" t="s">
        <v>28</v>
      </c>
      <c r="K10" s="34" t="s">
        <v>46</v>
      </c>
      <c r="L10" s="34" t="s">
        <v>47</v>
      </c>
      <c r="M10" s="32" t="s">
        <v>48</v>
      </c>
      <c r="N10" s="32" t="s">
        <v>32</v>
      </c>
      <c r="O10" s="32" t="s">
        <v>32</v>
      </c>
      <c r="P10" s="35" t="s">
        <v>33</v>
      </c>
      <c r="Q10" s="32" t="s">
        <v>49</v>
      </c>
      <c r="R10" s="2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1"/>
      <c r="B11" s="29">
        <v>45820.0</v>
      </c>
      <c r="C11" s="30" t="s">
        <v>50</v>
      </c>
      <c r="D11" s="31" t="s">
        <v>43</v>
      </c>
      <c r="E11" s="31" t="s">
        <v>51</v>
      </c>
      <c r="F11" s="31" t="s">
        <v>52</v>
      </c>
      <c r="G11" s="31" t="s">
        <v>25</v>
      </c>
      <c r="H11" s="30" t="s">
        <v>53</v>
      </c>
      <c r="I11" s="30" t="s">
        <v>54</v>
      </c>
      <c r="J11" s="30" t="s">
        <v>55</v>
      </c>
      <c r="K11" s="34" t="s">
        <v>56</v>
      </c>
      <c r="L11" s="30" t="s">
        <v>57</v>
      </c>
      <c r="M11" s="34" t="s">
        <v>58</v>
      </c>
      <c r="N11" s="32" t="s">
        <v>32</v>
      </c>
      <c r="O11" s="32" t="s">
        <v>32</v>
      </c>
      <c r="P11" s="38" t="s">
        <v>33</v>
      </c>
      <c r="Q11" s="1"/>
      <c r="R11" s="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1"/>
      <c r="B12" s="29">
        <v>45820.0</v>
      </c>
      <c r="C12" s="1"/>
      <c r="D12" s="31" t="s">
        <v>22</v>
      </c>
      <c r="E12" s="31" t="s">
        <v>59</v>
      </c>
      <c r="F12" s="31" t="s">
        <v>60</v>
      </c>
      <c r="G12" s="31" t="s">
        <v>25</v>
      </c>
      <c r="H12" s="39" t="s">
        <v>61</v>
      </c>
      <c r="I12" s="31" t="s">
        <v>62</v>
      </c>
      <c r="J12" s="30" t="s">
        <v>38</v>
      </c>
      <c r="K12" s="34" t="s">
        <v>63</v>
      </c>
      <c r="L12" s="30" t="s">
        <v>64</v>
      </c>
      <c r="M12" s="32" t="s">
        <v>65</v>
      </c>
      <c r="N12" s="32" t="s">
        <v>31</v>
      </c>
      <c r="O12" s="32" t="s">
        <v>32</v>
      </c>
      <c r="P12" s="38" t="s">
        <v>66</v>
      </c>
      <c r="Q12" s="32" t="s">
        <v>42</v>
      </c>
      <c r="R12" s="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1"/>
      <c r="B13" s="29">
        <v>45820.0</v>
      </c>
      <c r="C13" s="30" t="s">
        <v>67</v>
      </c>
      <c r="D13" s="31" t="s">
        <v>22</v>
      </c>
      <c r="E13" s="31" t="s">
        <v>68</v>
      </c>
      <c r="F13" s="31" t="s">
        <v>69</v>
      </c>
      <c r="G13" s="31" t="s">
        <v>25</v>
      </c>
      <c r="H13" s="40" t="s">
        <v>70</v>
      </c>
      <c r="I13" s="31" t="s">
        <v>71</v>
      </c>
      <c r="J13" s="30" t="s">
        <v>38</v>
      </c>
      <c r="K13" s="37" t="s">
        <v>72</v>
      </c>
      <c r="L13" s="30" t="s">
        <v>73</v>
      </c>
      <c r="M13" s="32" t="s">
        <v>74</v>
      </c>
      <c r="N13" s="32" t="s">
        <v>31</v>
      </c>
      <c r="O13" s="32" t="s">
        <v>32</v>
      </c>
      <c r="P13" s="38" t="s">
        <v>66</v>
      </c>
      <c r="Q13" s="32" t="s">
        <v>42</v>
      </c>
      <c r="R13" s="2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1"/>
      <c r="B14" s="29">
        <v>45820.0</v>
      </c>
      <c r="C14" s="30" t="s">
        <v>75</v>
      </c>
      <c r="D14" s="31" t="s">
        <v>22</v>
      </c>
      <c r="E14" s="31" t="s">
        <v>76</v>
      </c>
      <c r="F14" s="31" t="s">
        <v>77</v>
      </c>
      <c r="G14" s="31" t="s">
        <v>25</v>
      </c>
      <c r="H14" s="30" t="s">
        <v>78</v>
      </c>
      <c r="I14" s="31" t="s">
        <v>79</v>
      </c>
      <c r="J14" s="30" t="s">
        <v>80</v>
      </c>
      <c r="K14" s="37" t="s">
        <v>81</v>
      </c>
      <c r="L14" s="30" t="s">
        <v>82</v>
      </c>
      <c r="M14" s="32" t="s">
        <v>83</v>
      </c>
      <c r="N14" s="32" t="s">
        <v>31</v>
      </c>
      <c r="O14" s="32" t="s">
        <v>32</v>
      </c>
      <c r="P14" s="35" t="s">
        <v>33</v>
      </c>
      <c r="Q14" s="32" t="s">
        <v>42</v>
      </c>
      <c r="R14" s="2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1"/>
      <c r="B15" s="29">
        <v>45820.0</v>
      </c>
      <c r="C15" s="1"/>
      <c r="D15" s="31" t="s">
        <v>22</v>
      </c>
      <c r="E15" s="31" t="s">
        <v>84</v>
      </c>
      <c r="F15" s="31" t="s">
        <v>85</v>
      </c>
      <c r="G15" s="31" t="s">
        <v>25</v>
      </c>
      <c r="H15" s="39" t="s">
        <v>61</v>
      </c>
      <c r="I15" s="31" t="s">
        <v>86</v>
      </c>
      <c r="J15" s="30" t="s">
        <v>38</v>
      </c>
      <c r="K15" s="37" t="s">
        <v>87</v>
      </c>
      <c r="L15" s="30" t="s">
        <v>88</v>
      </c>
      <c r="M15" s="32" t="s">
        <v>89</v>
      </c>
      <c r="N15" s="32" t="s">
        <v>31</v>
      </c>
      <c r="O15" s="32" t="s">
        <v>32</v>
      </c>
      <c r="P15" s="38" t="s">
        <v>66</v>
      </c>
      <c r="Q15" s="32" t="s">
        <v>42</v>
      </c>
      <c r="R15" s="2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1"/>
      <c r="B16" s="29">
        <v>45820.0</v>
      </c>
      <c r="C16" s="1"/>
      <c r="D16" s="41" t="s">
        <v>43</v>
      </c>
      <c r="E16" s="41" t="s">
        <v>90</v>
      </c>
      <c r="F16" s="41" t="s">
        <v>91</v>
      </c>
      <c r="G16" s="31" t="s">
        <v>25</v>
      </c>
      <c r="H16" s="40" t="s">
        <v>92</v>
      </c>
      <c r="I16" s="31" t="s">
        <v>93</v>
      </c>
      <c r="J16" s="30" t="s">
        <v>38</v>
      </c>
      <c r="K16" s="37" t="s">
        <v>87</v>
      </c>
      <c r="L16" s="30" t="s">
        <v>94</v>
      </c>
      <c r="M16" s="32" t="s">
        <v>49</v>
      </c>
      <c r="N16" s="32" t="s">
        <v>31</v>
      </c>
      <c r="O16" s="32" t="s">
        <v>32</v>
      </c>
      <c r="P16" s="38" t="s">
        <v>66</v>
      </c>
      <c r="Q16" s="32" t="s">
        <v>49</v>
      </c>
      <c r="R16" s="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1"/>
      <c r="B17" s="29">
        <v>45820.0</v>
      </c>
      <c r="C17" s="1"/>
      <c r="D17" s="31" t="s">
        <v>22</v>
      </c>
      <c r="E17" s="31" t="s">
        <v>95</v>
      </c>
      <c r="F17" s="31" t="s">
        <v>96</v>
      </c>
      <c r="G17" s="31" t="s">
        <v>25</v>
      </c>
      <c r="H17" s="39" t="s">
        <v>61</v>
      </c>
      <c r="I17" s="31" t="s">
        <v>86</v>
      </c>
      <c r="J17" s="30" t="s">
        <v>38</v>
      </c>
      <c r="K17" s="34" t="s">
        <v>97</v>
      </c>
      <c r="L17" s="30" t="s">
        <v>57</v>
      </c>
      <c r="M17" s="1"/>
      <c r="N17" s="32" t="s">
        <v>31</v>
      </c>
      <c r="O17" s="32" t="s">
        <v>32</v>
      </c>
      <c r="P17" s="38" t="s">
        <v>66</v>
      </c>
      <c r="Q17" s="32" t="s">
        <v>42</v>
      </c>
      <c r="R17" s="2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1"/>
      <c r="B18" s="29">
        <v>45820.0</v>
      </c>
      <c r="C18" s="1"/>
      <c r="D18" s="31" t="s">
        <v>22</v>
      </c>
      <c r="E18" s="31" t="s">
        <v>98</v>
      </c>
      <c r="F18" s="31" t="s">
        <v>99</v>
      </c>
      <c r="G18" s="31" t="s">
        <v>25</v>
      </c>
      <c r="H18" s="39" t="s">
        <v>100</v>
      </c>
      <c r="I18" s="31" t="s">
        <v>27</v>
      </c>
      <c r="J18" s="39" t="s">
        <v>101</v>
      </c>
      <c r="K18" s="37" t="s">
        <v>102</v>
      </c>
      <c r="L18" s="30" t="s">
        <v>88</v>
      </c>
      <c r="M18" s="32" t="s">
        <v>89</v>
      </c>
      <c r="N18" s="32" t="s">
        <v>31</v>
      </c>
      <c r="O18" s="32" t="s">
        <v>32</v>
      </c>
      <c r="P18" s="38" t="s">
        <v>66</v>
      </c>
      <c r="Q18" s="32" t="s">
        <v>42</v>
      </c>
      <c r="R18" s="2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1"/>
      <c r="B19" s="29">
        <v>45820.0</v>
      </c>
      <c r="C19" s="1"/>
      <c r="D19" s="31" t="s">
        <v>22</v>
      </c>
      <c r="E19" s="31" t="s">
        <v>103</v>
      </c>
      <c r="F19" s="31" t="s">
        <v>104</v>
      </c>
      <c r="G19" s="31" t="s">
        <v>25</v>
      </c>
      <c r="H19" s="39" t="s">
        <v>105</v>
      </c>
      <c r="I19" s="31" t="s">
        <v>86</v>
      </c>
      <c r="J19" s="30" t="s">
        <v>38</v>
      </c>
      <c r="K19" s="34" t="s">
        <v>106</v>
      </c>
      <c r="L19" s="30" t="s">
        <v>107</v>
      </c>
      <c r="M19" s="32" t="s">
        <v>89</v>
      </c>
      <c r="N19" s="32" t="s">
        <v>31</v>
      </c>
      <c r="O19" s="32" t="s">
        <v>32</v>
      </c>
      <c r="P19" s="38" t="s">
        <v>66</v>
      </c>
      <c r="Q19" s="32" t="s">
        <v>42</v>
      </c>
      <c r="R19" s="2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1"/>
      <c r="B20" s="29">
        <v>45820.0</v>
      </c>
      <c r="C20" s="1"/>
      <c r="D20" s="31" t="s">
        <v>22</v>
      </c>
      <c r="E20" s="31" t="s">
        <v>98</v>
      </c>
      <c r="F20" s="31" t="s">
        <v>108</v>
      </c>
      <c r="G20" s="31" t="s">
        <v>25</v>
      </c>
      <c r="H20" s="39" t="s">
        <v>61</v>
      </c>
      <c r="I20" s="31" t="s">
        <v>109</v>
      </c>
      <c r="J20" s="40" t="s">
        <v>110</v>
      </c>
      <c r="K20" s="37" t="s">
        <v>111</v>
      </c>
      <c r="L20" s="30" t="s">
        <v>88</v>
      </c>
      <c r="M20" s="32" t="s">
        <v>89</v>
      </c>
      <c r="N20" s="32" t="s">
        <v>31</v>
      </c>
      <c r="O20" s="32" t="s">
        <v>32</v>
      </c>
      <c r="P20" s="38" t="s">
        <v>66</v>
      </c>
      <c r="Q20" s="32" t="s">
        <v>42</v>
      </c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1"/>
      <c r="B21" s="29">
        <v>45820.0</v>
      </c>
      <c r="C21" s="1"/>
      <c r="D21" s="31" t="s">
        <v>22</v>
      </c>
      <c r="E21" s="31" t="s">
        <v>112</v>
      </c>
      <c r="F21" s="31" t="s">
        <v>113</v>
      </c>
      <c r="G21" s="31" t="s">
        <v>25</v>
      </c>
      <c r="H21" s="40" t="s">
        <v>114</v>
      </c>
      <c r="I21" s="31" t="s">
        <v>115</v>
      </c>
      <c r="J21" s="30" t="s">
        <v>38</v>
      </c>
      <c r="K21" s="34" t="s">
        <v>116</v>
      </c>
      <c r="L21" s="30" t="s">
        <v>88</v>
      </c>
      <c r="M21" s="32" t="s">
        <v>117</v>
      </c>
      <c r="N21" s="32" t="s">
        <v>31</v>
      </c>
      <c r="O21" s="32" t="s">
        <v>32</v>
      </c>
      <c r="P21" s="38" t="s">
        <v>66</v>
      </c>
      <c r="Q21" s="32" t="s">
        <v>42</v>
      </c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1"/>
      <c r="B22" s="29">
        <v>45820.0</v>
      </c>
      <c r="C22" s="1"/>
      <c r="D22" s="31" t="s">
        <v>22</v>
      </c>
      <c r="E22" s="31" t="s">
        <v>68</v>
      </c>
      <c r="F22" s="31" t="s">
        <v>118</v>
      </c>
      <c r="G22" s="31" t="s">
        <v>25</v>
      </c>
      <c r="H22" s="39" t="s">
        <v>105</v>
      </c>
      <c r="I22" s="31" t="s">
        <v>119</v>
      </c>
      <c r="J22" s="30" t="s">
        <v>38</v>
      </c>
      <c r="K22" s="34" t="s">
        <v>120</v>
      </c>
      <c r="L22" s="30" t="s">
        <v>121</v>
      </c>
      <c r="M22" s="32" t="s">
        <v>117</v>
      </c>
      <c r="N22" s="32" t="s">
        <v>31</v>
      </c>
      <c r="O22" s="32" t="s">
        <v>32</v>
      </c>
      <c r="P22" s="38" t="s">
        <v>66</v>
      </c>
      <c r="Q22" s="32" t="s">
        <v>42</v>
      </c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1"/>
      <c r="B23" s="29">
        <v>45820.0</v>
      </c>
      <c r="C23" s="1"/>
      <c r="D23" s="31" t="s">
        <v>22</v>
      </c>
      <c r="E23" s="31" t="s">
        <v>68</v>
      </c>
      <c r="F23" s="31" t="s">
        <v>122</v>
      </c>
      <c r="G23" s="31" t="s">
        <v>25</v>
      </c>
      <c r="H23" s="39" t="s">
        <v>105</v>
      </c>
      <c r="I23" s="31" t="s">
        <v>123</v>
      </c>
      <c r="J23" s="39" t="s">
        <v>101</v>
      </c>
      <c r="K23" s="34" t="s">
        <v>124</v>
      </c>
      <c r="L23" s="30" t="s">
        <v>88</v>
      </c>
      <c r="M23" s="32" t="s">
        <v>89</v>
      </c>
      <c r="N23" s="32" t="s">
        <v>31</v>
      </c>
      <c r="O23" s="32" t="s">
        <v>32</v>
      </c>
      <c r="P23" s="38" t="s">
        <v>66</v>
      </c>
      <c r="Q23" s="32" t="s">
        <v>42</v>
      </c>
      <c r="R23" s="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1"/>
      <c r="B24" s="29">
        <v>45820.0</v>
      </c>
      <c r="C24" s="1"/>
      <c r="D24" s="31" t="s">
        <v>22</v>
      </c>
      <c r="E24" s="31" t="s">
        <v>95</v>
      </c>
      <c r="F24" s="31" t="s">
        <v>125</v>
      </c>
      <c r="G24" s="31" t="s">
        <v>25</v>
      </c>
      <c r="H24" s="39" t="s">
        <v>126</v>
      </c>
      <c r="I24" s="31" t="s">
        <v>127</v>
      </c>
      <c r="J24" s="30" t="s">
        <v>38</v>
      </c>
      <c r="K24" s="34" t="s">
        <v>128</v>
      </c>
      <c r="L24" s="30" t="s">
        <v>88</v>
      </c>
      <c r="M24" s="32" t="s">
        <v>117</v>
      </c>
      <c r="N24" s="32" t="s">
        <v>31</v>
      </c>
      <c r="O24" s="32" t="s">
        <v>32</v>
      </c>
      <c r="P24" s="38" t="s">
        <v>66</v>
      </c>
      <c r="Q24" s="32" t="s">
        <v>42</v>
      </c>
      <c r="R24" s="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1"/>
      <c r="B25" s="29">
        <v>45820.0</v>
      </c>
      <c r="C25" s="1"/>
      <c r="D25" s="31" t="s">
        <v>22</v>
      </c>
      <c r="E25" s="41" t="s">
        <v>129</v>
      </c>
      <c r="F25" s="31" t="s">
        <v>130</v>
      </c>
      <c r="G25" s="31" t="s">
        <v>25</v>
      </c>
      <c r="H25" s="40" t="s">
        <v>131</v>
      </c>
      <c r="I25" s="31" t="s">
        <v>86</v>
      </c>
      <c r="J25" s="39" t="s">
        <v>101</v>
      </c>
      <c r="K25" s="37" t="s">
        <v>132</v>
      </c>
      <c r="L25" s="30" t="s">
        <v>88</v>
      </c>
      <c r="M25" s="32" t="s">
        <v>89</v>
      </c>
      <c r="N25" s="32" t="s">
        <v>31</v>
      </c>
      <c r="O25" s="32" t="s">
        <v>32</v>
      </c>
      <c r="P25" s="38" t="s">
        <v>66</v>
      </c>
      <c r="Q25" s="32" t="s">
        <v>42</v>
      </c>
      <c r="R25" s="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"/>
      <c r="B26" s="29">
        <v>45820.0</v>
      </c>
      <c r="C26" s="1"/>
      <c r="D26" s="31" t="s">
        <v>22</v>
      </c>
      <c r="E26" s="41" t="s">
        <v>84</v>
      </c>
      <c r="F26" s="31" t="s">
        <v>133</v>
      </c>
      <c r="G26" s="31" t="s">
        <v>25</v>
      </c>
      <c r="H26" s="39" t="s">
        <v>105</v>
      </c>
      <c r="I26" s="31" t="s">
        <v>86</v>
      </c>
      <c r="J26" s="39" t="s">
        <v>101</v>
      </c>
      <c r="K26" s="37" t="s">
        <v>134</v>
      </c>
      <c r="L26" s="30" t="s">
        <v>88</v>
      </c>
      <c r="M26" s="32" t="s">
        <v>89</v>
      </c>
      <c r="N26" s="32" t="s">
        <v>31</v>
      </c>
      <c r="O26" s="32" t="s">
        <v>32</v>
      </c>
      <c r="P26" s="38" t="s">
        <v>66</v>
      </c>
      <c r="Q26" s="32" t="s">
        <v>42</v>
      </c>
      <c r="R26" s="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1"/>
      <c r="B27" s="29">
        <v>45820.0</v>
      </c>
      <c r="C27" s="1"/>
      <c r="D27" s="31" t="s">
        <v>43</v>
      </c>
      <c r="E27" s="31" t="s">
        <v>135</v>
      </c>
      <c r="F27" s="31" t="s">
        <v>136</v>
      </c>
      <c r="G27" s="31" t="s">
        <v>25</v>
      </c>
      <c r="H27" s="40" t="s">
        <v>137</v>
      </c>
      <c r="I27" s="31" t="s">
        <v>27</v>
      </c>
      <c r="J27" s="39" t="s">
        <v>101</v>
      </c>
      <c r="K27" s="34" t="s">
        <v>138</v>
      </c>
      <c r="L27" s="30" t="s">
        <v>57</v>
      </c>
      <c r="M27" s="32" t="s">
        <v>89</v>
      </c>
      <c r="N27" s="32" t="s">
        <v>31</v>
      </c>
      <c r="O27" s="32" t="s">
        <v>32</v>
      </c>
      <c r="P27" s="38" t="s">
        <v>66</v>
      </c>
      <c r="Q27" s="32" t="s">
        <v>42</v>
      </c>
      <c r="R27" s="2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1"/>
      <c r="B28" s="29">
        <v>45820.0</v>
      </c>
      <c r="C28" s="1"/>
      <c r="D28" s="31" t="s">
        <v>22</v>
      </c>
      <c r="E28" s="31" t="s">
        <v>139</v>
      </c>
      <c r="F28" s="31" t="s">
        <v>140</v>
      </c>
      <c r="G28" s="31" t="s">
        <v>25</v>
      </c>
      <c r="H28" s="40" t="s">
        <v>141</v>
      </c>
      <c r="I28" s="31" t="s">
        <v>37</v>
      </c>
      <c r="J28" s="39" t="s">
        <v>101</v>
      </c>
      <c r="K28" s="37" t="s">
        <v>142</v>
      </c>
      <c r="L28" s="30" t="s">
        <v>88</v>
      </c>
      <c r="M28" s="32" t="s">
        <v>89</v>
      </c>
      <c r="N28" s="32" t="s">
        <v>31</v>
      </c>
      <c r="O28" s="32" t="s">
        <v>32</v>
      </c>
      <c r="P28" s="38" t="s">
        <v>66</v>
      </c>
      <c r="Q28" s="32" t="s">
        <v>42</v>
      </c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1"/>
      <c r="B29" s="29">
        <v>45820.0</v>
      </c>
      <c r="C29" s="1"/>
      <c r="D29" s="31" t="s">
        <v>22</v>
      </c>
      <c r="E29" s="31" t="s">
        <v>59</v>
      </c>
      <c r="F29" s="31" t="s">
        <v>143</v>
      </c>
      <c r="G29" s="31" t="s">
        <v>25</v>
      </c>
      <c r="H29" s="39" t="s">
        <v>105</v>
      </c>
      <c r="I29" s="31" t="s">
        <v>62</v>
      </c>
      <c r="J29" s="30" t="s">
        <v>38</v>
      </c>
      <c r="K29" s="37" t="s">
        <v>144</v>
      </c>
      <c r="L29" s="30" t="s">
        <v>57</v>
      </c>
      <c r="M29" s="32" t="s">
        <v>117</v>
      </c>
      <c r="N29" s="32" t="s">
        <v>31</v>
      </c>
      <c r="O29" s="32" t="s">
        <v>32</v>
      </c>
      <c r="P29" s="38" t="s">
        <v>66</v>
      </c>
      <c r="Q29" s="32" t="s">
        <v>42</v>
      </c>
      <c r="R29" s="2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1"/>
      <c r="B30" s="29">
        <v>45820.0</v>
      </c>
      <c r="C30" s="1"/>
      <c r="D30" s="31" t="s">
        <v>22</v>
      </c>
      <c r="E30" s="31" t="s">
        <v>145</v>
      </c>
      <c r="F30" s="31" t="s">
        <v>146</v>
      </c>
      <c r="G30" s="31" t="s">
        <v>25</v>
      </c>
      <c r="H30" s="39" t="s">
        <v>105</v>
      </c>
      <c r="I30" s="31" t="s">
        <v>86</v>
      </c>
      <c r="J30" s="39" t="s">
        <v>101</v>
      </c>
      <c r="K30" s="37" t="s">
        <v>147</v>
      </c>
      <c r="L30" s="30" t="s">
        <v>88</v>
      </c>
      <c r="M30" s="32" t="s">
        <v>89</v>
      </c>
      <c r="N30" s="32" t="s">
        <v>31</v>
      </c>
      <c r="O30" s="32" t="s">
        <v>32</v>
      </c>
      <c r="P30" s="38" t="s">
        <v>66</v>
      </c>
      <c r="Q30" s="32" t="s">
        <v>42</v>
      </c>
      <c r="R30" s="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29">
        <v>45820.0</v>
      </c>
      <c r="C31" s="1"/>
      <c r="D31" s="31" t="s">
        <v>22</v>
      </c>
      <c r="E31" s="31" t="s">
        <v>51</v>
      </c>
      <c r="F31" s="31" t="s">
        <v>148</v>
      </c>
      <c r="G31" s="31" t="s">
        <v>25</v>
      </c>
      <c r="H31" s="39" t="s">
        <v>61</v>
      </c>
      <c r="I31" s="31" t="s">
        <v>86</v>
      </c>
      <c r="J31" s="30" t="s">
        <v>38</v>
      </c>
      <c r="K31" s="34" t="s">
        <v>149</v>
      </c>
      <c r="L31" s="30" t="s">
        <v>88</v>
      </c>
      <c r="M31" s="32" t="s">
        <v>117</v>
      </c>
      <c r="N31" s="32" t="s">
        <v>31</v>
      </c>
      <c r="O31" s="32" t="s">
        <v>32</v>
      </c>
      <c r="P31" s="38" t="s">
        <v>66</v>
      </c>
      <c r="Q31" s="32" t="s">
        <v>42</v>
      </c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29">
        <v>45820.0</v>
      </c>
      <c r="C32" s="1"/>
      <c r="D32" s="31" t="s">
        <v>22</v>
      </c>
      <c r="E32" s="31" t="s">
        <v>150</v>
      </c>
      <c r="F32" s="31" t="s">
        <v>151</v>
      </c>
      <c r="G32" s="31" t="s">
        <v>25</v>
      </c>
      <c r="H32" s="42" t="s">
        <v>105</v>
      </c>
      <c r="I32" s="32" t="s">
        <v>152</v>
      </c>
      <c r="J32" s="42" t="s">
        <v>101</v>
      </c>
      <c r="K32" s="34" t="s">
        <v>153</v>
      </c>
      <c r="L32" s="30" t="s">
        <v>154</v>
      </c>
      <c r="M32" s="32" t="s">
        <v>89</v>
      </c>
      <c r="N32" s="32" t="s">
        <v>31</v>
      </c>
      <c r="O32" s="32" t="s">
        <v>32</v>
      </c>
      <c r="P32" s="38" t="s">
        <v>66</v>
      </c>
      <c r="Q32" s="32" t="s">
        <v>42</v>
      </c>
      <c r="R32" s="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29">
        <v>45820.0</v>
      </c>
      <c r="C33" s="1"/>
      <c r="D33" s="31" t="s">
        <v>22</v>
      </c>
      <c r="E33" s="31" t="s">
        <v>51</v>
      </c>
      <c r="F33" s="31" t="s">
        <v>155</v>
      </c>
      <c r="G33" s="31" t="s">
        <v>25</v>
      </c>
      <c r="H33" s="42" t="s">
        <v>61</v>
      </c>
      <c r="I33" s="32" t="s">
        <v>152</v>
      </c>
      <c r="J33" s="34" t="s">
        <v>38</v>
      </c>
      <c r="K33" s="34" t="s">
        <v>156</v>
      </c>
      <c r="L33" s="34" t="s">
        <v>82</v>
      </c>
      <c r="M33" s="32" t="s">
        <v>117</v>
      </c>
      <c r="N33" s="32" t="s">
        <v>31</v>
      </c>
      <c r="O33" s="32" t="s">
        <v>32</v>
      </c>
      <c r="P33" s="38" t="s">
        <v>66</v>
      </c>
      <c r="Q33" s="32" t="s">
        <v>42</v>
      </c>
      <c r="R33" s="2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29">
        <v>45820.0</v>
      </c>
      <c r="C34" s="1"/>
      <c r="D34" s="31" t="s">
        <v>22</v>
      </c>
      <c r="E34" s="31" t="s">
        <v>157</v>
      </c>
      <c r="F34" s="31" t="s">
        <v>158</v>
      </c>
      <c r="G34" s="31" t="s">
        <v>25</v>
      </c>
      <c r="H34" s="37" t="s">
        <v>114</v>
      </c>
      <c r="I34" s="32" t="s">
        <v>159</v>
      </c>
      <c r="J34" s="34" t="s">
        <v>38</v>
      </c>
      <c r="K34" s="34" t="s">
        <v>160</v>
      </c>
      <c r="L34" s="34" t="s">
        <v>82</v>
      </c>
      <c r="M34" s="32" t="s">
        <v>117</v>
      </c>
      <c r="N34" s="32" t="s">
        <v>31</v>
      </c>
      <c r="O34" s="32" t="s">
        <v>32</v>
      </c>
      <c r="P34" s="38" t="s">
        <v>66</v>
      </c>
      <c r="Q34" s="32" t="s">
        <v>42</v>
      </c>
      <c r="R34" s="2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29">
        <v>45820.0</v>
      </c>
      <c r="C35" s="1"/>
      <c r="D35" s="31" t="s">
        <v>22</v>
      </c>
      <c r="E35" s="31" t="s">
        <v>150</v>
      </c>
      <c r="F35" s="31" t="s">
        <v>161</v>
      </c>
      <c r="G35" s="31" t="s">
        <v>25</v>
      </c>
      <c r="H35" s="42" t="s">
        <v>162</v>
      </c>
      <c r="I35" s="32" t="s">
        <v>163</v>
      </c>
      <c r="J35" s="42" t="s">
        <v>101</v>
      </c>
      <c r="K35" s="34" t="s">
        <v>164</v>
      </c>
      <c r="L35" s="34" t="s">
        <v>82</v>
      </c>
      <c r="M35" s="32" t="s">
        <v>89</v>
      </c>
      <c r="N35" s="32" t="s">
        <v>31</v>
      </c>
      <c r="O35" s="32" t="s">
        <v>32</v>
      </c>
      <c r="P35" s="38" t="s">
        <v>66</v>
      </c>
      <c r="Q35" s="32" t="s">
        <v>42</v>
      </c>
      <c r="R35" s="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29">
        <v>45820.0</v>
      </c>
      <c r="C36" s="1"/>
      <c r="D36" s="31" t="s">
        <v>165</v>
      </c>
      <c r="E36" s="31" t="s">
        <v>150</v>
      </c>
      <c r="F36" s="31" t="s">
        <v>166</v>
      </c>
      <c r="G36" s="31" t="s">
        <v>25</v>
      </c>
      <c r="H36" s="42" t="s">
        <v>167</v>
      </c>
      <c r="I36" s="32" t="s">
        <v>168</v>
      </c>
      <c r="J36" s="42" t="s">
        <v>101</v>
      </c>
      <c r="K36" s="32" t="s">
        <v>169</v>
      </c>
      <c r="L36" s="34" t="s">
        <v>82</v>
      </c>
      <c r="M36" s="32" t="s">
        <v>89</v>
      </c>
      <c r="N36" s="1"/>
      <c r="O36" s="1"/>
      <c r="P36" s="38" t="s">
        <v>66</v>
      </c>
      <c r="Q36" s="1"/>
      <c r="R36" s="2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29">
        <v>45820.0</v>
      </c>
      <c r="C37" s="1"/>
      <c r="D37" s="31" t="s">
        <v>165</v>
      </c>
      <c r="E37" s="31" t="s">
        <v>150</v>
      </c>
      <c r="F37" s="31" t="s">
        <v>170</v>
      </c>
      <c r="G37" s="31" t="s">
        <v>25</v>
      </c>
      <c r="H37" s="42" t="s">
        <v>171</v>
      </c>
      <c r="I37" s="32" t="s">
        <v>172</v>
      </c>
      <c r="J37" s="34" t="s">
        <v>173</v>
      </c>
      <c r="K37" s="32" t="s">
        <v>174</v>
      </c>
      <c r="L37" s="34" t="s">
        <v>82</v>
      </c>
      <c r="M37" s="32" t="s">
        <v>175</v>
      </c>
      <c r="N37" s="1"/>
      <c r="O37" s="1"/>
      <c r="P37" s="38" t="s">
        <v>66</v>
      </c>
      <c r="Q37" s="1"/>
      <c r="R37" s="2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29">
        <v>45820.0</v>
      </c>
      <c r="C38" s="1"/>
      <c r="D38" s="31" t="s">
        <v>165</v>
      </c>
      <c r="E38" s="31" t="s">
        <v>150</v>
      </c>
      <c r="F38" s="31" t="s">
        <v>176</v>
      </c>
      <c r="G38" s="31" t="s">
        <v>25</v>
      </c>
      <c r="H38" s="37" t="s">
        <v>177</v>
      </c>
      <c r="I38" s="32" t="s">
        <v>178</v>
      </c>
      <c r="J38" s="34" t="s">
        <v>179</v>
      </c>
      <c r="K38" s="32" t="s">
        <v>180</v>
      </c>
      <c r="L38" s="34" t="s">
        <v>82</v>
      </c>
      <c r="M38" s="32" t="s">
        <v>89</v>
      </c>
      <c r="N38" s="1"/>
      <c r="O38" s="1"/>
      <c r="P38" s="38" t="s">
        <v>66</v>
      </c>
      <c r="Q38" s="1"/>
      <c r="R38" s="2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29">
        <v>45820.0</v>
      </c>
      <c r="C39" s="1"/>
      <c r="D39" s="31" t="s">
        <v>165</v>
      </c>
      <c r="E39" s="31" t="s">
        <v>150</v>
      </c>
      <c r="F39" s="31" t="s">
        <v>181</v>
      </c>
      <c r="G39" s="31" t="s">
        <v>25</v>
      </c>
      <c r="H39" s="42" t="s">
        <v>182</v>
      </c>
      <c r="I39" s="32" t="s">
        <v>178</v>
      </c>
      <c r="J39" s="37" t="s">
        <v>183</v>
      </c>
      <c r="K39" s="32" t="s">
        <v>184</v>
      </c>
      <c r="L39" s="34" t="s">
        <v>82</v>
      </c>
      <c r="M39" s="32" t="s">
        <v>89</v>
      </c>
      <c r="N39" s="1"/>
      <c r="O39" s="1"/>
      <c r="P39" s="38" t="s">
        <v>66</v>
      </c>
      <c r="Q39" s="1"/>
      <c r="R39" s="2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29">
        <v>45820.0</v>
      </c>
      <c r="C40" s="1"/>
      <c r="D40" s="31" t="s">
        <v>22</v>
      </c>
      <c r="E40" s="31" t="s">
        <v>150</v>
      </c>
      <c r="F40" s="31" t="s">
        <v>185</v>
      </c>
      <c r="G40" s="31" t="s">
        <v>25</v>
      </c>
      <c r="H40" s="42" t="s">
        <v>186</v>
      </c>
      <c r="I40" s="32" t="s">
        <v>187</v>
      </c>
      <c r="J40" s="42" t="s">
        <v>188</v>
      </c>
      <c r="K40" s="32" t="s">
        <v>81</v>
      </c>
      <c r="L40" s="34" t="s">
        <v>82</v>
      </c>
      <c r="M40" s="32" t="s">
        <v>89</v>
      </c>
      <c r="N40" s="1"/>
      <c r="O40" s="1"/>
      <c r="P40" s="38" t="s">
        <v>66</v>
      </c>
      <c r="Q40" s="1"/>
      <c r="R40" s="2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29">
        <v>45820.0</v>
      </c>
      <c r="C41" s="40" t="s">
        <v>189</v>
      </c>
      <c r="D41" s="31" t="s">
        <v>43</v>
      </c>
      <c r="E41" s="31" t="s">
        <v>135</v>
      </c>
      <c r="F41" s="31" t="s">
        <v>190</v>
      </c>
      <c r="G41" s="31" t="s">
        <v>25</v>
      </c>
      <c r="H41" s="34" t="s">
        <v>78</v>
      </c>
      <c r="I41" s="32" t="s">
        <v>191</v>
      </c>
      <c r="J41" s="34" t="s">
        <v>80</v>
      </c>
      <c r="K41" s="32" t="s">
        <v>192</v>
      </c>
      <c r="L41" s="34" t="s">
        <v>82</v>
      </c>
      <c r="M41" s="32" t="s">
        <v>193</v>
      </c>
      <c r="N41" s="1"/>
      <c r="O41" s="1"/>
      <c r="P41" s="35" t="s">
        <v>33</v>
      </c>
      <c r="Q41" s="1"/>
      <c r="R41" s="2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29">
        <v>45876.0</v>
      </c>
      <c r="C42" s="30" t="s">
        <v>194</v>
      </c>
      <c r="D42" s="31" t="s">
        <v>43</v>
      </c>
      <c r="E42" s="31" t="s">
        <v>135</v>
      </c>
      <c r="F42" s="32" t="s">
        <v>195</v>
      </c>
      <c r="G42" s="31" t="s">
        <v>25</v>
      </c>
      <c r="H42" s="34" t="s">
        <v>78</v>
      </c>
      <c r="I42" s="32" t="s">
        <v>79</v>
      </c>
      <c r="J42" s="34" t="s">
        <v>80</v>
      </c>
      <c r="K42" s="32" t="s">
        <v>81</v>
      </c>
      <c r="L42" s="34" t="s">
        <v>82</v>
      </c>
      <c r="M42" s="32" t="s">
        <v>193</v>
      </c>
      <c r="N42" s="1"/>
      <c r="O42" s="1"/>
      <c r="P42" s="35" t="s">
        <v>33</v>
      </c>
      <c r="Q42" s="1"/>
      <c r="R42" s="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29">
        <v>45876.0</v>
      </c>
      <c r="C43" s="40" t="s">
        <v>196</v>
      </c>
      <c r="D43" s="31" t="s">
        <v>43</v>
      </c>
      <c r="E43" s="31" t="s">
        <v>135</v>
      </c>
      <c r="F43" s="32" t="s">
        <v>197</v>
      </c>
      <c r="G43" s="31" t="s">
        <v>25</v>
      </c>
      <c r="H43" s="34" t="s">
        <v>78</v>
      </c>
      <c r="I43" s="42" t="s">
        <v>198</v>
      </c>
      <c r="J43" s="34" t="s">
        <v>199</v>
      </c>
      <c r="K43" s="32" t="s">
        <v>81</v>
      </c>
      <c r="L43" s="34" t="s">
        <v>82</v>
      </c>
      <c r="M43" s="32" t="s">
        <v>193</v>
      </c>
      <c r="N43" s="1"/>
      <c r="O43" s="1"/>
      <c r="P43" s="35" t="s">
        <v>33</v>
      </c>
      <c r="Q43" s="1"/>
      <c r="R43" s="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31" t="s">
        <v>200</v>
      </c>
      <c r="C44" s="36" t="s">
        <v>201</v>
      </c>
      <c r="D44" s="31" t="s">
        <v>43</v>
      </c>
      <c r="E44" s="32" t="s">
        <v>135</v>
      </c>
      <c r="F44" s="43" t="s">
        <v>202</v>
      </c>
      <c r="G44" s="31" t="s">
        <v>25</v>
      </c>
      <c r="H44" s="34" t="s">
        <v>78</v>
      </c>
      <c r="I44" s="32" t="s">
        <v>79</v>
      </c>
      <c r="J44" s="34" t="s">
        <v>203</v>
      </c>
      <c r="K44" s="32" t="s">
        <v>81</v>
      </c>
      <c r="L44" s="34" t="s">
        <v>82</v>
      </c>
      <c r="M44" s="32" t="s">
        <v>193</v>
      </c>
      <c r="N44" s="1"/>
      <c r="O44" s="1"/>
      <c r="P44" s="35" t="s">
        <v>33</v>
      </c>
      <c r="Q44" s="1"/>
      <c r="R44" s="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31" t="s">
        <v>200</v>
      </c>
      <c r="C45" s="30" t="s">
        <v>204</v>
      </c>
      <c r="D45" s="31" t="s">
        <v>22</v>
      </c>
      <c r="E45" s="32" t="s">
        <v>205</v>
      </c>
      <c r="F45" s="32" t="s">
        <v>206</v>
      </c>
      <c r="G45" s="31" t="s">
        <v>25</v>
      </c>
      <c r="H45" s="34" t="s">
        <v>207</v>
      </c>
      <c r="I45" s="32" t="s">
        <v>208</v>
      </c>
      <c r="J45" s="34" t="s">
        <v>203</v>
      </c>
      <c r="K45" s="34" t="s">
        <v>209</v>
      </c>
      <c r="L45" s="34" t="s">
        <v>210</v>
      </c>
      <c r="M45" s="43" t="s">
        <v>211</v>
      </c>
      <c r="N45" s="1"/>
      <c r="O45" s="1"/>
      <c r="P45" s="35" t="s">
        <v>33</v>
      </c>
      <c r="Q45" s="1"/>
      <c r="R45" s="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31" t="s">
        <v>200</v>
      </c>
      <c r="C46" s="30" t="s">
        <v>212</v>
      </c>
      <c r="D46" s="31" t="s">
        <v>22</v>
      </c>
      <c r="E46" s="32" t="s">
        <v>205</v>
      </c>
      <c r="F46" s="32" t="s">
        <v>213</v>
      </c>
      <c r="G46" s="31" t="s">
        <v>25</v>
      </c>
      <c r="H46" s="34" t="s">
        <v>207</v>
      </c>
      <c r="I46" s="32" t="s">
        <v>208</v>
      </c>
      <c r="J46" s="34" t="s">
        <v>203</v>
      </c>
      <c r="K46" s="34" t="s">
        <v>209</v>
      </c>
      <c r="L46" s="34" t="s">
        <v>210</v>
      </c>
      <c r="M46" s="43" t="s">
        <v>211</v>
      </c>
      <c r="N46" s="1"/>
      <c r="O46" s="1"/>
      <c r="P46" s="35" t="s">
        <v>33</v>
      </c>
      <c r="Q46" s="1"/>
      <c r="R46" s="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"/>
      <c r="B47" s="31" t="s">
        <v>214</v>
      </c>
      <c r="C47" s="30" t="s">
        <v>215</v>
      </c>
      <c r="D47" s="31" t="s">
        <v>165</v>
      </c>
      <c r="E47" s="32" t="s">
        <v>216</v>
      </c>
      <c r="F47" s="32" t="s">
        <v>217</v>
      </c>
      <c r="G47" s="31" t="s">
        <v>25</v>
      </c>
      <c r="H47" s="34" t="s">
        <v>218</v>
      </c>
      <c r="I47" s="32" t="s">
        <v>219</v>
      </c>
      <c r="J47" s="34" t="s">
        <v>80</v>
      </c>
      <c r="K47" s="34" t="s">
        <v>209</v>
      </c>
      <c r="L47" s="34" t="s">
        <v>220</v>
      </c>
      <c r="M47" s="43" t="s">
        <v>221</v>
      </c>
      <c r="N47" s="1"/>
      <c r="O47" s="1"/>
      <c r="P47" s="35" t="s">
        <v>33</v>
      </c>
      <c r="Q47" s="1"/>
      <c r="R47" s="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31" t="s">
        <v>222</v>
      </c>
      <c r="C48" s="30" t="s">
        <v>223</v>
      </c>
      <c r="D48" s="31" t="s">
        <v>22</v>
      </c>
      <c r="E48" s="32" t="s">
        <v>34</v>
      </c>
      <c r="F48" s="32" t="s">
        <v>224</v>
      </c>
      <c r="G48" s="31" t="s">
        <v>25</v>
      </c>
      <c r="H48" s="34" t="s">
        <v>225</v>
      </c>
      <c r="I48" s="34" t="s">
        <v>226</v>
      </c>
      <c r="J48" s="34" t="s">
        <v>227</v>
      </c>
      <c r="K48" s="34" t="s">
        <v>228</v>
      </c>
      <c r="L48" s="34" t="s">
        <v>229</v>
      </c>
      <c r="M48" s="43" t="s">
        <v>10</v>
      </c>
      <c r="N48" s="1"/>
      <c r="O48" s="1"/>
      <c r="P48" s="35" t="s">
        <v>33</v>
      </c>
      <c r="Q48" s="1"/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31" t="s">
        <v>230</v>
      </c>
      <c r="C49" s="30" t="s">
        <v>231</v>
      </c>
      <c r="D49" s="31" t="s">
        <v>22</v>
      </c>
      <c r="E49" s="32" t="s">
        <v>34</v>
      </c>
      <c r="F49" s="32" t="s">
        <v>232</v>
      </c>
      <c r="G49" s="31" t="s">
        <v>25</v>
      </c>
      <c r="H49" s="34" t="s">
        <v>233</v>
      </c>
      <c r="I49" s="34" t="s">
        <v>234</v>
      </c>
      <c r="J49" s="34" t="s">
        <v>235</v>
      </c>
      <c r="K49" s="34" t="s">
        <v>236</v>
      </c>
      <c r="L49" s="34" t="s">
        <v>229</v>
      </c>
      <c r="M49" s="43" t="s">
        <v>237</v>
      </c>
      <c r="N49" s="1"/>
      <c r="O49" s="1"/>
      <c r="P49" s="35" t="s">
        <v>33</v>
      </c>
      <c r="Q49" s="1"/>
      <c r="R49" s="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31" t="s">
        <v>238</v>
      </c>
      <c r="C50" s="30" t="s">
        <v>239</v>
      </c>
      <c r="D50" s="31" t="s">
        <v>22</v>
      </c>
      <c r="E50" s="32" t="s">
        <v>240</v>
      </c>
      <c r="F50" s="32" t="s">
        <v>241</v>
      </c>
      <c r="G50" s="31" t="s">
        <v>25</v>
      </c>
      <c r="H50" s="30" t="s">
        <v>26</v>
      </c>
      <c r="I50" s="34" t="s">
        <v>27</v>
      </c>
      <c r="J50" s="30" t="s">
        <v>28</v>
      </c>
      <c r="K50" s="34" t="s">
        <v>242</v>
      </c>
      <c r="L50" s="34" t="s">
        <v>29</v>
      </c>
      <c r="M50" s="32" t="s">
        <v>30</v>
      </c>
      <c r="N50" s="32" t="s">
        <v>31</v>
      </c>
      <c r="O50" s="32" t="s">
        <v>32</v>
      </c>
      <c r="P50" s="35" t="s">
        <v>33</v>
      </c>
      <c r="Q50" s="1"/>
      <c r="R50" s="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44">
        <v>46206.0</v>
      </c>
      <c r="C51" s="45" t="s">
        <v>243</v>
      </c>
      <c r="D51" s="31" t="s">
        <v>22</v>
      </c>
      <c r="E51" s="46" t="s">
        <v>244</v>
      </c>
      <c r="F51" s="46" t="s">
        <v>245</v>
      </c>
      <c r="G51" s="31" t="s">
        <v>25</v>
      </c>
      <c r="H51" s="45" t="s">
        <v>246</v>
      </c>
      <c r="I51" s="47" t="s">
        <v>247</v>
      </c>
      <c r="J51" s="45" t="s">
        <v>248</v>
      </c>
      <c r="K51" s="47" t="s">
        <v>249</v>
      </c>
      <c r="L51" s="47" t="s">
        <v>250</v>
      </c>
      <c r="M51" s="32" t="s">
        <v>30</v>
      </c>
      <c r="N51" s="32" t="s">
        <v>31</v>
      </c>
      <c r="O51" s="32" t="s">
        <v>32</v>
      </c>
      <c r="P51" s="35" t="s">
        <v>33</v>
      </c>
      <c r="Q51" s="1"/>
      <c r="R51" s="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44">
        <v>46206.0</v>
      </c>
      <c r="C52" s="45" t="s">
        <v>251</v>
      </c>
      <c r="D52" s="41" t="s">
        <v>22</v>
      </c>
      <c r="E52" s="46" t="s">
        <v>252</v>
      </c>
      <c r="F52" s="46" t="s">
        <v>245</v>
      </c>
      <c r="G52" s="31" t="s">
        <v>25</v>
      </c>
      <c r="H52" s="45"/>
      <c r="I52" s="47"/>
      <c r="J52" s="30"/>
      <c r="K52" s="34"/>
      <c r="L52" s="34"/>
      <c r="M52" s="32" t="s">
        <v>30</v>
      </c>
      <c r="N52" s="32" t="s">
        <v>31</v>
      </c>
      <c r="O52" s="32" t="s">
        <v>32</v>
      </c>
      <c r="P52" s="35" t="s">
        <v>33</v>
      </c>
      <c r="Q52" s="1"/>
      <c r="R52" s="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44">
        <v>46239.0</v>
      </c>
      <c r="C53" s="45" t="s">
        <v>253</v>
      </c>
      <c r="D53" s="41" t="s">
        <v>22</v>
      </c>
      <c r="E53" s="46" t="s">
        <v>34</v>
      </c>
      <c r="F53" s="46" t="s">
        <v>254</v>
      </c>
      <c r="G53" s="41" t="s">
        <v>25</v>
      </c>
      <c r="H53" s="45" t="s">
        <v>255</v>
      </c>
      <c r="I53" s="47" t="s">
        <v>256</v>
      </c>
      <c r="J53" s="45" t="s">
        <v>248</v>
      </c>
      <c r="K53" s="47" t="s">
        <v>257</v>
      </c>
      <c r="L53" s="47" t="s">
        <v>258</v>
      </c>
      <c r="M53" s="46" t="s">
        <v>30</v>
      </c>
      <c r="N53" s="46" t="s">
        <v>31</v>
      </c>
      <c r="O53" s="46" t="s">
        <v>32</v>
      </c>
      <c r="P53" s="35" t="s">
        <v>33</v>
      </c>
      <c r="Q53" s="1"/>
      <c r="R53" s="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2"/>
      <c r="B54" s="2"/>
      <c r="C54" s="2"/>
      <c r="D54" s="2"/>
      <c r="E54" s="2"/>
      <c r="F54" s="2"/>
      <c r="G54" s="2"/>
      <c r="H54" s="2"/>
      <c r="I54" s="48"/>
      <c r="J54" s="2"/>
      <c r="K54" s="2"/>
      <c r="L54" s="2"/>
      <c r="M54" s="2"/>
      <c r="N54" s="2"/>
      <c r="O54" s="2"/>
      <c r="P54" s="2"/>
      <c r="Q54" s="2"/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49" t="s">
        <v>259</v>
      </c>
      <c r="C55" s="50"/>
      <c r="D55" s="50"/>
      <c r="E55" s="32" t="s">
        <v>260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51"/>
      <c r="D56" s="51"/>
      <c r="E56" s="32" t="s">
        <v>261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52"/>
      <c r="D57" s="52"/>
      <c r="E57" s="32" t="s">
        <v>262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5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53"/>
      <c r="C59" s="1"/>
      <c r="D59" s="49" t="s">
        <v>263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5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54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54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53"/>
      <c r="C63" s="56" t="s">
        <v>264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53"/>
      <c r="C64" s="57" t="s">
        <v>265</v>
      </c>
      <c r="D64" s="58" t="s">
        <v>266</v>
      </c>
      <c r="E64" s="58" t="s">
        <v>267</v>
      </c>
      <c r="F64" s="58" t="s">
        <v>268</v>
      </c>
      <c r="G64" s="58" t="s">
        <v>269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57" t="s">
        <v>270</v>
      </c>
      <c r="D65" s="59" t="s">
        <v>271</v>
      </c>
      <c r="E65" s="58">
        <v>4.0</v>
      </c>
      <c r="F65" s="60">
        <v>300000.0</v>
      </c>
      <c r="G65" s="61">
        <f t="shared" ref="G65:G71" si="1">F65*E65</f>
        <v>1200000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57" t="s">
        <v>272</v>
      </c>
      <c r="D66" s="59" t="s">
        <v>273</v>
      </c>
      <c r="E66" s="58">
        <v>4.0</v>
      </c>
      <c r="F66" s="60">
        <v>500000.0</v>
      </c>
      <c r="G66" s="61">
        <f t="shared" si="1"/>
        <v>2000000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58" t="s">
        <v>274</v>
      </c>
      <c r="D67" s="59" t="s">
        <v>273</v>
      </c>
      <c r="E67" s="58">
        <v>2.0</v>
      </c>
      <c r="F67" s="60">
        <v>4500000.0</v>
      </c>
      <c r="G67" s="61">
        <f t="shared" si="1"/>
        <v>9000000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58" t="s">
        <v>275</v>
      </c>
      <c r="D68" s="59" t="s">
        <v>276</v>
      </c>
      <c r="E68" s="58">
        <v>1.0</v>
      </c>
      <c r="F68" s="60">
        <v>1.5E7</v>
      </c>
      <c r="G68" s="61">
        <f t="shared" si="1"/>
        <v>15000000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58" t="s">
        <v>275</v>
      </c>
      <c r="D69" s="59" t="s">
        <v>277</v>
      </c>
      <c r="E69" s="58">
        <v>1.0</v>
      </c>
      <c r="F69" s="60">
        <v>4.49E7</v>
      </c>
      <c r="G69" s="61">
        <f t="shared" si="1"/>
        <v>44900000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58" t="s">
        <v>278</v>
      </c>
      <c r="D70" s="59" t="s">
        <v>279</v>
      </c>
      <c r="E70" s="58">
        <v>2.0</v>
      </c>
      <c r="F70" s="60">
        <v>5559000.0</v>
      </c>
      <c r="G70" s="61">
        <f t="shared" si="1"/>
        <v>11118000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58" t="s">
        <v>280</v>
      </c>
      <c r="D71" s="62" t="s">
        <v>281</v>
      </c>
      <c r="E71" s="58">
        <v>1.0</v>
      </c>
      <c r="F71" s="60">
        <v>8257666.0</v>
      </c>
      <c r="G71" s="61">
        <f t="shared" si="1"/>
        <v>8257666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</sheetData>
  <mergeCells count="14">
    <mergeCell ref="G6:G7"/>
    <mergeCell ref="H6:L6"/>
    <mergeCell ref="C63:G63"/>
    <mergeCell ref="M6:M7"/>
    <mergeCell ref="N6:O6"/>
    <mergeCell ref="P6:P7"/>
    <mergeCell ref="Q6:Q7"/>
    <mergeCell ref="B2:B3"/>
    <mergeCell ref="C2:P4"/>
    <mergeCell ref="Q2:Q4"/>
    <mergeCell ref="B6:B7"/>
    <mergeCell ref="D6:D7"/>
    <mergeCell ref="E6:E7"/>
    <mergeCell ref="F6:F7"/>
  </mergeCells>
  <dataValidations>
    <dataValidation type="list" allowBlank="1" showErrorMessage="1" sqref="P8:P53">
      <formula1>"Complated,Pending"</formula1>
    </dataValidation>
    <dataValidation type="list" allowBlank="1" showErrorMessage="1" sqref="N8:O35 N50:O53">
      <formula1>"Yes,No"</formula1>
    </dataValidation>
    <dataValidation type="list" allowBlank="1" showErrorMessage="1" sqref="D8:D53">
      <formula1>"PLAN 1,PLAN 2,PLAN 3"</formula1>
    </dataValidation>
    <dataValidation type="list" allowBlank="1" showErrorMessage="1" sqref="G8:G53">
      <formula1>"Komputer,Laptop,Printer"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